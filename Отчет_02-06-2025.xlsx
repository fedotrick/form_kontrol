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'Лист1'!$A$1:$AK$26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04"/>
      <family val="2"/>
      <color theme="1"/>
      <sz val="11"/>
      <scheme val="minor"/>
    </font>
    <font>
      <name val="Aptos Narrow"/>
      <family val="2"/>
      <b val="1"/>
      <color theme="1"/>
      <sz val="22"/>
    </font>
    <font>
      <name val="Aptos Narrow"/>
      <family val="2"/>
      <color theme="1"/>
      <sz val="11"/>
    </font>
    <font>
      <name val="Aptos Narrow"/>
      <family val="2"/>
      <b val="1"/>
      <color theme="1"/>
      <sz val="10"/>
    </font>
    <font>
      <name val="Aptos Narrow"/>
      <family val="2"/>
      <b val="1"/>
      <color theme="1"/>
      <sz val="18"/>
    </font>
    <font>
      <name val="Aptos Narrow"/>
      <family val="2"/>
      <b val="1"/>
      <sz val="14"/>
    </font>
    <font>
      <name val="Aptos Narrow"/>
      <family val="2"/>
      <b val="1"/>
      <sz val="16"/>
    </font>
    <font>
      <name val="Aptos Narrow"/>
      <family val="2"/>
      <sz val="11"/>
    </font>
    <font>
      <name val="Aptos Narrow"/>
      <family val="2"/>
      <b val="1"/>
      <sz val="11"/>
    </font>
    <font>
      <name val="Aptos Narrow"/>
      <family val="2"/>
      <color theme="1"/>
      <sz val="14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6"/>
    </font>
    <font>
      <name val="Calibri"/>
      <charset val="204"/>
      <family val="2"/>
      <b val="1"/>
      <sz val="11"/>
    </font>
    <font>
      <name val="Aptos Narrow"/>
      <charset val="204"/>
      <family val="2"/>
      <b val="1"/>
      <color theme="1"/>
      <sz val="11"/>
    </font>
    <font>
      <name val="Aptos Narrow"/>
      <charset val="204"/>
      <family val="2"/>
      <b val="1"/>
      <color theme="1"/>
      <sz val="16"/>
    </font>
    <font>
      <name val="Aptos Narrow"/>
      <charset val="204"/>
      <family val="2"/>
      <b val="1"/>
      <color theme="1"/>
      <sz val="12"/>
    </font>
    <font>
      <name val="Calibri"/>
      <charset val="204"/>
      <family val="2"/>
      <b val="1"/>
      <sz val="16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textRotation="90" wrapText="1"/>
    </xf>
    <xf numFmtId="0" fontId="8" fillId="0" borderId="0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center"/>
    </xf>
    <xf numFmtId="0" fontId="10" fillId="0" borderId="0" pivotButton="0" quotePrefix="0" xfId="0"/>
    <xf numFmtId="0" fontId="10" fillId="0" borderId="6" pivotButton="0" quotePrefix="0" xfId="0"/>
    <xf numFmtId="0" fontId="2" fillId="0" borderId="0" pivotButton="0" quotePrefix="0" xfId="0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 wrapText="1"/>
    </xf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23" pivotButton="0" quotePrefix="0" xfId="0"/>
    <xf numFmtId="0" fontId="6" fillId="0" borderId="27" applyAlignment="1" pivotButton="0" quotePrefix="0" xfId="0">
      <alignment horizontal="center" vertical="center" textRotation="90" wrapText="1"/>
    </xf>
    <xf numFmtId="0" fontId="6" fillId="0" borderId="28" applyAlignment="1" pivotButton="0" quotePrefix="0" xfId="0">
      <alignment horizontal="center" vertical="center" textRotation="90" wrapText="1"/>
    </xf>
    <xf numFmtId="0" fontId="6" fillId="0" borderId="29" applyAlignment="1" pivotButton="0" quotePrefix="0" xfId="0">
      <alignment horizontal="center" vertical="center" textRotation="90" wrapText="1"/>
    </xf>
    <xf numFmtId="0" fontId="10" fillId="0" borderId="2" pivotButton="0" quotePrefix="0" xfId="0"/>
    <xf numFmtId="0" fontId="10" fillId="0" borderId="8" pivotButton="0" quotePrefix="0" xfId="0"/>
    <xf numFmtId="0" fontId="10" fillId="0" borderId="8" applyAlignment="1" pivotButton="0" quotePrefix="0" xfId="0">
      <alignment horizontal="center"/>
    </xf>
    <xf numFmtId="0" fontId="9" fillId="0" borderId="2" pivotButton="0" quotePrefix="0" xfId="0"/>
    <xf numFmtId="0" fontId="6" fillId="0" borderId="2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52" applyAlignment="1" pivotButton="0" quotePrefix="0" xfId="0">
      <alignment horizontal="center" vertical="center" textRotation="90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center" vertical="center" textRotation="90" wrapText="1"/>
    </xf>
    <xf numFmtId="0" fontId="6" fillId="0" borderId="41" applyAlignment="1" pivotButton="0" quotePrefix="0" xfId="0">
      <alignment horizontal="center" vertical="center" textRotation="90" wrapText="1"/>
    </xf>
    <xf numFmtId="0" fontId="6" fillId="0" borderId="42" applyAlignment="1" pivotButton="0" quotePrefix="0" xfId="0">
      <alignment horizontal="center" vertical="center" textRotation="90" wrapText="1"/>
    </xf>
    <xf numFmtId="0" fontId="6" fillId="0" borderId="31" applyAlignment="1" pivotButton="0" quotePrefix="0" xfId="0">
      <alignment horizontal="center" vertical="center" textRotation="90" wrapText="1"/>
    </xf>
    <xf numFmtId="0" fontId="5" fillId="0" borderId="32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center" vertical="center" textRotation="90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9" fontId="5" fillId="0" borderId="38" applyAlignment="1" pivotButton="0" quotePrefix="0" xfId="0">
      <alignment horizontal="center" vertical="center" wrapText="1"/>
    </xf>
    <xf numFmtId="9" fontId="5" fillId="0" borderId="3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6" fillId="0" borderId="50" applyAlignment="1" pivotButton="0" quotePrefix="0" xfId="0">
      <alignment horizontal="center" vertical="center" textRotation="90" wrapText="1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left"/>
    </xf>
    <xf numFmtId="0" fontId="11" fillId="0" borderId="27" applyAlignment="1" pivotButton="0" quotePrefix="0" xfId="0">
      <alignment horizontal="center"/>
    </xf>
    <xf numFmtId="0" fontId="11" fillId="0" borderId="28" applyAlignment="1" pivotButton="0" quotePrefix="0" xfId="0">
      <alignment horizontal="center"/>
    </xf>
    <xf numFmtId="0" fontId="11" fillId="0" borderId="52" applyAlignment="1" pivotButton="0" quotePrefix="0" xfId="0">
      <alignment horizontal="center"/>
    </xf>
    <xf numFmtId="0" fontId="11" fillId="0" borderId="24" applyAlignment="1" pivotButton="0" quotePrefix="0" xfId="0">
      <alignment horizontal="center"/>
    </xf>
    <xf numFmtId="0" fontId="11" fillId="0" borderId="25" applyAlignment="1" pivotButton="0" quotePrefix="0" xfId="0">
      <alignment horizontal="center"/>
    </xf>
    <xf numFmtId="0" fontId="11" fillId="0" borderId="26" applyAlignment="1" pivotButton="0" quotePrefix="0" xfId="0">
      <alignment horizontal="center"/>
    </xf>
    <xf numFmtId="49" fontId="5" fillId="0" borderId="32" applyAlignment="1" pivotButton="0" quotePrefix="0" xfId="0">
      <alignment horizontal="center" vertical="center" wrapText="1"/>
    </xf>
    <xf numFmtId="49" fontId="5" fillId="0" borderId="33" applyAlignment="1" pivotButton="0" quotePrefix="0" xfId="0">
      <alignment horizontal="center" vertical="center" wrapText="1"/>
    </xf>
    <xf numFmtId="49" fontId="5" fillId="0" borderId="3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49" fontId="5" fillId="0" borderId="36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textRotation="90" wrapText="1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48" applyAlignment="1" pivotButton="0" quotePrefix="0" xfId="0">
      <alignment horizontal="center" vertical="center" textRotation="90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49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right"/>
    </xf>
    <xf numFmtId="0" fontId="10" fillId="0" borderId="8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54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2" pivotButton="0" quotePrefix="0" xfId="0"/>
    <xf numFmtId="0" fontId="0" fillId="0" borderId="4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2" pivotButton="0" quotePrefix="0" xfId="0"/>
    <xf numFmtId="0" fontId="0" fillId="0" borderId="48" pivotButton="0" quotePrefix="0" xfId="0"/>
    <xf numFmtId="0" fontId="0" fillId="0" borderId="49" pivotButton="0" quotePrefix="0" xfId="0"/>
    <xf numFmtId="0" fontId="10" fillId="0" borderId="2" applyAlignment="1" pivotButton="0" quotePrefix="0" xfId="0">
      <alignment horizontal="center"/>
    </xf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55" applyAlignment="1" pivotButton="0" quotePrefix="0" xfId="0">
      <alignment horizontal="center"/>
    </xf>
    <xf numFmtId="0" fontId="0" fillId="0" borderId="26" pivotButton="0" quotePrefix="0" xfId="0"/>
    <xf numFmtId="49" fontId="5" fillId="0" borderId="55" applyAlignment="1" pivotButton="0" quotePrefix="0" xfId="0">
      <alignment horizontal="center" vertical="center" wrapText="1"/>
    </xf>
    <xf numFmtId="0" fontId="0" fillId="0" borderId="56" pivotButton="0" quotePrefix="0" xfId="0"/>
    <xf numFmtId="0" fontId="2" fillId="0" borderId="2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26"/>
  <sheetViews>
    <sheetView tabSelected="1" view="pageBreakPreview" topLeftCell="A16" zoomScale="55" zoomScaleNormal="80" zoomScaleSheetLayoutView="55" workbookViewId="0">
      <selection activeCell="AE19" sqref="AE19:AK19"/>
    </sheetView>
  </sheetViews>
  <sheetFormatPr baseColWidth="8" defaultRowHeight="15"/>
  <cols>
    <col width="27.85546875" customWidth="1" style="20" min="1" max="1"/>
    <col width="14.85546875" customWidth="1" style="20" min="2" max="2"/>
    <col width="11.7109375" customWidth="1" style="5" min="3" max="4"/>
    <col width="8.5703125" customWidth="1" style="5" min="5" max="16"/>
    <col width="7.85546875" customWidth="1" style="5" min="17" max="18"/>
    <col width="8.5703125" customWidth="1" style="20" min="19" max="19"/>
    <col width="8.5703125" customWidth="1" style="5" min="20" max="23"/>
    <col width="9.85546875" customWidth="1" style="5" min="24" max="24"/>
    <col width="8.5703125" customWidth="1" style="5" min="25" max="25"/>
    <col width="9.140625" customWidth="1" style="5" min="26" max="26"/>
    <col width="8.85546875" customWidth="1" style="5" min="27" max="31"/>
    <col width="9" customWidth="1" style="5" min="32" max="35"/>
    <col width="9.28515625" bestFit="1" customWidth="1" style="5" min="36" max="36"/>
    <col width="10" customWidth="1" style="5" min="37" max="38"/>
    <col width="10" customWidth="1" style="20" min="39" max="39"/>
    <col width="5.42578125" customWidth="1" style="5" min="40" max="63"/>
    <col width="13.85546875" customWidth="1" style="20" min="64" max="64"/>
    <col width="24.28515625" customWidth="1" style="20" min="65" max="65"/>
    <col width="9.140625" customWidth="1" style="20" min="66" max="16384"/>
  </cols>
  <sheetData>
    <row r="1" ht="37.5" customHeight="1">
      <c r="A1" s="64" t="inlineStr">
        <is>
          <t>ОТЧЕТ по сдаче продукции в литейном цехе</t>
        </is>
      </c>
      <c r="AL1" s="64" t="n"/>
    </row>
    <row r="2" ht="73.5" customHeight="1">
      <c r="A2" s="70" t="inlineStr">
        <is>
          <t>Дата:  02.06.2025</t>
        </is>
      </c>
      <c r="L2" s="70" t="inlineStr">
        <is>
          <t>Контролеры: Елхова, Лабуткина</t>
        </is>
      </c>
      <c r="AI2" s="5" t="n"/>
      <c r="AJ2" s="5" t="n"/>
    </row>
    <row r="3" ht="22.5" customHeight="1" thickBot="1"/>
    <row r="4" ht="26.25" customFormat="1" customHeight="1" s="7" thickBot="1">
      <c r="A4" s="126" t="inlineStr">
        <is>
          <t>НОМЕР И НАИМЕНОВАНИЕ ОТЛИВКИ</t>
        </is>
      </c>
      <c r="B4" s="126" t="inlineStr">
        <is>
          <t>ОТЛИТО, шт.</t>
        </is>
      </c>
      <c r="C4" s="55" t="inlineStr">
        <is>
          <t>БРАК НА ОПЕРАЦИЯХ, шт.</t>
        </is>
      </c>
      <c r="D4" s="127" t="n"/>
      <c r="E4" s="127" t="n"/>
      <c r="F4" s="127" t="n"/>
      <c r="G4" s="127" t="n"/>
      <c r="H4" s="127" t="n"/>
      <c r="I4" s="127" t="n"/>
      <c r="J4" s="127" t="n"/>
      <c r="K4" s="127" t="n"/>
      <c r="L4" s="127" t="n"/>
      <c r="M4" s="127" t="n"/>
      <c r="N4" s="127" t="n"/>
      <c r="O4" s="127" t="n"/>
      <c r="P4" s="128" t="n"/>
      <c r="Q4" s="126" t="inlineStr">
        <is>
          <t>ПОДАНО, шт.</t>
        </is>
      </c>
      <c r="R4" s="129" t="n"/>
      <c r="S4" s="130" t="n"/>
      <c r="T4" s="55" t="inlineStr">
        <is>
          <t>ДОРАБОТКА, шт.</t>
        </is>
      </c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8" t="n"/>
      <c r="AL4" s="6" t="n"/>
    </row>
    <row r="5" ht="114.75" customFormat="1" customHeight="1" s="9">
      <c r="A5" s="131" t="n"/>
      <c r="B5" s="131" t="n"/>
      <c r="C5" s="22" t="inlineStr">
        <is>
          <t>недолив</t>
        </is>
      </c>
      <c r="D5" s="23" t="inlineStr">
        <is>
          <t>раковины на корпусе</t>
        </is>
      </c>
      <c r="E5" s="23" t="inlineStr">
        <is>
          <t>наруш. геом.</t>
        </is>
      </c>
      <c r="F5" s="23" t="inlineStr">
        <is>
          <t>брак п/м</t>
        </is>
      </c>
      <c r="G5" s="23" t="inlineStr">
        <is>
          <t>пригар песка</t>
        </is>
      </c>
      <c r="H5" s="23" t="inlineStr">
        <is>
          <t>наплыв металла</t>
        </is>
      </c>
      <c r="I5" s="23" t="inlineStr">
        <is>
          <t>вырыв</t>
        </is>
      </c>
      <c r="J5" s="23" t="inlineStr">
        <is>
          <t>слом</t>
        </is>
      </c>
      <c r="K5" s="23" t="inlineStr">
        <is>
          <t>зарез</t>
        </is>
      </c>
      <c r="L5" s="23" t="inlineStr">
        <is>
          <t>несоотв. 
внеш. вида</t>
        </is>
      </c>
      <c r="M5" s="23" t="inlineStr">
        <is>
          <t>трещины</t>
        </is>
      </c>
      <c r="N5" s="23" t="inlineStr">
        <is>
          <t>скол</t>
        </is>
      </c>
      <c r="O5" s="23" t="inlineStr">
        <is>
          <t>нарушение маркировки</t>
        </is>
      </c>
      <c r="P5" s="24" t="inlineStr">
        <is>
          <t>технол. брак (ЛПД)</t>
        </is>
      </c>
      <c r="Q5" s="132" t="n"/>
      <c r="S5" s="133" t="n"/>
      <c r="T5" s="59" t="inlineStr">
        <is>
          <t>Раковины</t>
        </is>
      </c>
      <c r="U5" s="41" t="inlineStr">
        <is>
          <t>Зарез</t>
        </is>
      </c>
      <c r="V5" s="41" t="inlineStr">
        <is>
          <t>Несоотв. размеров</t>
        </is>
      </c>
      <c r="W5" s="41" t="inlineStr">
        <is>
          <t>Несоотв. 
внеш. вида</t>
        </is>
      </c>
      <c r="X5" s="41" t="inlineStr">
        <is>
          <t>Наплыв мет. 
на пов-ти</t>
        </is>
      </c>
      <c r="Y5" s="54" t="inlineStr">
        <is>
          <t>Прорыв мет. в резьбе (вороток)</t>
        </is>
      </c>
      <c r="Z5" s="54" t="inlineStr">
        <is>
          <t>Вырыв</t>
        </is>
      </c>
      <c r="AA5" s="41" t="inlineStr">
        <is>
          <t>Облой</t>
        </is>
      </c>
      <c r="AB5" s="41" t="inlineStr">
        <is>
          <t>Песок на 
пов-ти</t>
        </is>
      </c>
      <c r="AC5" s="85" t="inlineStr">
        <is>
          <t>Песок в резьбе (вороток)</t>
        </is>
      </c>
      <c r="AD5" s="54" t="inlineStr">
        <is>
          <t>Клей</t>
        </is>
      </c>
      <c r="AE5" s="134" t="n"/>
      <c r="AF5" s="87" t="inlineStr">
        <is>
          <t>Коробление</t>
        </is>
      </c>
      <c r="AG5" s="41" t="inlineStr">
        <is>
          <t>Дефект п/м (покрытие)</t>
        </is>
      </c>
      <c r="AH5" s="41" t="inlineStr">
        <is>
          <t>Лапы</t>
        </is>
      </c>
      <c r="AI5" s="41" t="inlineStr">
        <is>
          <t>Питатель</t>
        </is>
      </c>
      <c r="AJ5" s="41" t="inlineStr">
        <is>
          <t>Коронв</t>
        </is>
      </c>
      <c r="AK5" s="44" t="inlineStr">
        <is>
          <t>Смещение</t>
        </is>
      </c>
      <c r="AL5" s="8" t="n"/>
    </row>
    <row r="6" ht="31.5" customFormat="1" customHeight="1" s="9" thickBot="1">
      <c r="A6" s="135" t="n"/>
      <c r="B6" s="135" t="n"/>
      <c r="C6" s="136" t="n"/>
      <c r="D6" s="137" t="n"/>
      <c r="E6" s="137" t="n"/>
      <c r="F6" s="137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8" t="n"/>
      <c r="Q6" s="139" t="n"/>
      <c r="R6" s="140" t="n"/>
      <c r="S6" s="141" t="n"/>
      <c r="T6" s="136" t="n"/>
      <c r="U6" s="137" t="n"/>
      <c r="V6" s="137" t="n"/>
      <c r="W6" s="137" t="n"/>
      <c r="X6" s="137" t="n"/>
      <c r="Y6" s="142" t="n"/>
      <c r="Z6" s="142" t="n"/>
      <c r="AA6" s="137" t="n"/>
      <c r="AB6" s="137" t="n"/>
      <c r="AC6" s="143" t="n"/>
      <c r="AD6" s="29" t="inlineStr">
        <is>
          <t>П</t>
        </is>
      </c>
      <c r="AE6" s="29" t="inlineStr">
        <is>
          <t>Ш</t>
        </is>
      </c>
      <c r="AF6" s="144" t="n"/>
      <c r="AG6" s="137" t="n"/>
      <c r="AH6" s="137" t="n"/>
      <c r="AI6" s="137" t="n"/>
      <c r="AJ6" s="137" t="n"/>
      <c r="AK6" s="138" t="n"/>
      <c r="AL6" s="8" t="n"/>
    </row>
    <row r="7" hidden="1" ht="104.25" customHeight="1">
      <c r="A7" s="28" t="inlineStr">
        <is>
          <t>Наименование_отливки</t>
        </is>
      </c>
      <c r="B7" s="30" t="inlineStr">
        <is>
          <t>Контроль_отлито</t>
        </is>
      </c>
      <c r="C7" s="25" t="n"/>
      <c r="D7" s="25" t="n"/>
      <c r="E7" s="26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89" t="n"/>
      <c r="Q7" s="145" t="inlineStr">
        <is>
          <t>Контроль_отлито</t>
        </is>
      </c>
      <c r="R7" s="146" t="n"/>
      <c r="S7" s="134" t="n"/>
      <c r="T7" s="30" t="inlineStr">
        <is>
          <t>Доработка_раковины</t>
        </is>
      </c>
      <c r="U7" s="30" t="inlineStr">
        <is>
          <t>Доработка_зарез</t>
        </is>
      </c>
      <c r="V7" s="30" t="inlineStr">
        <is>
          <t>Доработка_несоответствие_размеров</t>
        </is>
      </c>
      <c r="W7" s="30" t="inlineStr">
        <is>
          <t>Доработка_несоответствие_внешнего_вида</t>
        </is>
      </c>
      <c r="X7" s="30" t="inlineStr">
        <is>
          <t>Доработка_наплыв_металла</t>
        </is>
      </c>
      <c r="Y7" s="30" t="inlineStr">
        <is>
          <t>Доработка_прорыв_металла</t>
        </is>
      </c>
      <c r="Z7" s="30" t="inlineStr">
        <is>
          <t>Доработка_вырыв</t>
        </is>
      </c>
      <c r="AA7" s="30" t="inlineStr">
        <is>
          <t>Доработка_облой</t>
        </is>
      </c>
      <c r="AB7" s="30" t="inlineStr">
        <is>
          <t>Доработка_песок_на_поверхности</t>
        </is>
      </c>
      <c r="AC7" s="30" t="inlineStr">
        <is>
          <t>Доработка_песок_в_резьбе</t>
        </is>
      </c>
      <c r="AD7" s="30" t="inlineStr">
        <is>
          <t>Доработка_клей_подтёк</t>
        </is>
      </c>
      <c r="AE7" s="30" t="inlineStr">
        <is>
          <t>Доработка_клей_по_шву</t>
        </is>
      </c>
      <c r="AF7" s="30" t="inlineStr">
        <is>
          <t>Доработка_коробление</t>
        </is>
      </c>
      <c r="AG7" s="30" t="inlineStr">
        <is>
          <t>Доработка_дефект_пеномодели</t>
        </is>
      </c>
      <c r="AH7" s="30" t="inlineStr">
        <is>
          <t>Доработка_лапы</t>
        </is>
      </c>
      <c r="AI7" s="30" t="inlineStr">
        <is>
          <t>Доработка_питатель</t>
        </is>
      </c>
      <c r="AJ7" s="30" t="inlineStr">
        <is>
          <t>Доработка_корона</t>
        </is>
      </c>
      <c r="AK7" s="30" t="inlineStr">
        <is>
          <t>Доработка_смещение</t>
        </is>
      </c>
      <c r="AL7" s="13" t="n"/>
    </row>
    <row r="8" ht="104.25" customHeight="1">
      <c r="A8" s="34" t="inlineStr">
        <is>
          <t>Держатель ригеля</t>
        </is>
      </c>
      <c r="B8" s="34">
        <f>Q8</f>
        <v/>
      </c>
      <c r="C8" s="10" t="n"/>
      <c r="D8" s="10" t="n"/>
      <c r="E8" s="11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2" t="n"/>
      <c r="Q8" s="115" t="n">
        <v>1500</v>
      </c>
      <c r="R8" s="147" t="n"/>
      <c r="S8" s="148" t="n"/>
      <c r="T8" s="115" t="n">
        <v>0</v>
      </c>
      <c r="U8" s="115" t="n">
        <v>0</v>
      </c>
      <c r="V8" s="115" t="n">
        <v>0</v>
      </c>
      <c r="W8" s="115" t="n">
        <v>0</v>
      </c>
      <c r="X8" s="115" t="n">
        <v>58</v>
      </c>
      <c r="Y8" s="115" t="n">
        <v>0</v>
      </c>
      <c r="Z8" s="115" t="n">
        <v>0</v>
      </c>
      <c r="AA8" s="115" t="n">
        <v>33</v>
      </c>
      <c r="AB8" s="115" t="n">
        <v>169</v>
      </c>
      <c r="AC8" s="115" t="n">
        <v>0</v>
      </c>
      <c r="AD8" s="101" t="n">
        <v>17</v>
      </c>
      <c r="AE8" s="115" t="n">
        <v>22</v>
      </c>
      <c r="AF8" s="115" t="n">
        <v>31</v>
      </c>
      <c r="AG8" s="115" t="n">
        <v>8</v>
      </c>
      <c r="AH8" s="115" t="n">
        <v>41</v>
      </c>
      <c r="AI8" s="115" t="n">
        <v>1</v>
      </c>
      <c r="AJ8" s="115" t="n">
        <v>0</v>
      </c>
      <c r="AK8" s="115" t="n">
        <v>41</v>
      </c>
      <c r="AL8" s="13" t="n"/>
    </row>
    <row r="9" ht="104.25" customHeight="1">
      <c r="A9" s="34" t="n"/>
      <c r="B9" s="34">
        <f>Q9</f>
        <v/>
      </c>
      <c r="C9" s="10" t="n"/>
      <c r="D9" s="10" t="n"/>
      <c r="E9" s="11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2" t="n"/>
      <c r="Q9" s="115" t="n"/>
      <c r="R9" s="147" t="n"/>
      <c r="S9" s="148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0" t="n"/>
      <c r="AH9" s="115" t="n"/>
      <c r="AI9" s="115" t="n"/>
      <c r="AJ9" s="103" t="n"/>
      <c r="AK9" s="115" t="n"/>
      <c r="AL9" s="13" t="n"/>
    </row>
    <row r="10" ht="104.25" customHeight="1">
      <c r="A10" s="34" t="n"/>
      <c r="B10" s="34">
        <f>Q10</f>
        <v/>
      </c>
      <c r="C10" s="10" t="n"/>
      <c r="D10" s="10" t="n"/>
      <c r="E10" s="11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2" t="n"/>
      <c r="Q10" s="115" t="n"/>
      <c r="R10" s="147" t="n"/>
      <c r="S10" s="148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5" t="n"/>
      <c r="AC10" s="115" t="n"/>
      <c r="AD10" s="115" t="n"/>
      <c r="AE10" s="115" t="n"/>
      <c r="AF10" s="115" t="n"/>
      <c r="AG10" s="110" t="n"/>
      <c r="AH10" s="115" t="n"/>
      <c r="AI10" s="115" t="n"/>
      <c r="AJ10" s="103" t="n"/>
      <c r="AK10" s="115" t="n"/>
      <c r="AL10" s="13" t="n"/>
    </row>
    <row r="11" ht="104.25" customHeight="1">
      <c r="A11" s="35" t="n"/>
      <c r="B11" s="34">
        <f>Q11</f>
        <v/>
      </c>
      <c r="C11" s="14" t="n"/>
      <c r="D11" s="14" t="n"/>
      <c r="E11" s="11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2" t="n"/>
      <c r="Q11" s="107" t="n"/>
      <c r="R11" s="149" t="n"/>
      <c r="S11" s="150" t="n"/>
      <c r="T11" s="107" t="n"/>
      <c r="U11" s="107" t="n"/>
      <c r="V11" s="107" t="n"/>
      <c r="W11" s="107" t="n"/>
      <c r="X11" s="107" t="n"/>
      <c r="Y11" s="115" t="n"/>
      <c r="Z11" s="115" t="n"/>
      <c r="AA11" s="107" t="n"/>
      <c r="AB11" s="107" t="n"/>
      <c r="AC11" s="107" t="n"/>
      <c r="AD11" s="107" t="n"/>
      <c r="AE11" s="107" t="n"/>
      <c r="AF11" s="107" t="n"/>
      <c r="AG11" s="108" t="n"/>
      <c r="AH11" s="115" t="n"/>
      <c r="AI11" s="115" t="n"/>
      <c r="AJ11" s="103" t="n"/>
      <c r="AK11" s="115" t="n"/>
      <c r="AL11" s="13" t="n"/>
    </row>
    <row r="12" ht="104.25" customHeight="1">
      <c r="A12" s="34" t="n"/>
      <c r="B12" s="34">
        <f>Q12</f>
        <v/>
      </c>
      <c r="C12" s="10" t="n"/>
      <c r="D12" s="10" t="n"/>
      <c r="E12" s="11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2" t="n"/>
      <c r="Q12" s="115" t="n"/>
      <c r="R12" s="147" t="n"/>
      <c r="S12" s="148" t="n"/>
      <c r="T12" s="115" t="n"/>
      <c r="U12" s="115" t="n"/>
      <c r="V12" s="115" t="n"/>
      <c r="W12" s="115" t="n"/>
      <c r="X12" s="115" t="n"/>
      <c r="Y12" s="115" t="n"/>
      <c r="Z12" s="115" t="n"/>
      <c r="AA12" s="115" t="n"/>
      <c r="AB12" s="115" t="n"/>
      <c r="AC12" s="115" t="n"/>
      <c r="AD12" s="115" t="n"/>
      <c r="AE12" s="115" t="n"/>
      <c r="AF12" s="115" t="n"/>
      <c r="AG12" s="110" t="n"/>
      <c r="AH12" s="115" t="n"/>
      <c r="AI12" s="115" t="n"/>
      <c r="AJ12" s="103" t="n"/>
      <c r="AK12" s="115" t="n"/>
      <c r="AL12" s="13" t="n"/>
    </row>
    <row r="13" ht="104.25" customHeight="1">
      <c r="A13" s="35" t="n"/>
      <c r="B13" s="34">
        <f>Q13</f>
        <v/>
      </c>
      <c r="C13" s="14" t="n"/>
      <c r="D13" s="14" t="n"/>
      <c r="E13" s="1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2" t="n"/>
      <c r="Q13" s="107" t="n"/>
      <c r="R13" s="149" t="n"/>
      <c r="S13" s="150" t="n"/>
      <c r="T13" s="107" t="n"/>
      <c r="U13" s="107" t="n"/>
      <c r="V13" s="107" t="n"/>
      <c r="W13" s="107" t="n"/>
      <c r="X13" s="107" t="n"/>
      <c r="Y13" s="115" t="n"/>
      <c r="Z13" s="115" t="n"/>
      <c r="AA13" s="107" t="n"/>
      <c r="AB13" s="107" t="n"/>
      <c r="AC13" s="107" t="n"/>
      <c r="AD13" s="107" t="n"/>
      <c r="AE13" s="107" t="n"/>
      <c r="AF13" s="107" t="n"/>
      <c r="AG13" s="108" t="n"/>
      <c r="AH13" s="115" t="n"/>
      <c r="AI13" s="115" t="n"/>
      <c r="AJ13" s="103" t="n"/>
      <c r="AK13" s="115" t="n"/>
      <c r="AL13" s="13" t="n"/>
    </row>
    <row r="14" ht="104.25" customHeight="1">
      <c r="A14" s="34" t="n"/>
      <c r="B14" s="34">
        <f>Q14</f>
        <v/>
      </c>
      <c r="C14" s="10" t="n"/>
      <c r="D14" s="10" t="n"/>
      <c r="E14" s="11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2" t="n"/>
      <c r="Q14" s="115" t="n"/>
      <c r="R14" s="147" t="n"/>
      <c r="S14" s="148" t="n"/>
      <c r="T14" s="115" t="n"/>
      <c r="U14" s="115" t="n"/>
      <c r="V14" s="115" t="n"/>
      <c r="W14" s="115" t="n"/>
      <c r="X14" s="115" t="n"/>
      <c r="Y14" s="115" t="n"/>
      <c r="Z14" s="115" t="n"/>
      <c r="AA14" s="115" t="n"/>
      <c r="AB14" s="115" t="n"/>
      <c r="AC14" s="115" t="n"/>
      <c r="AD14" s="115" t="n"/>
      <c r="AE14" s="115" t="n"/>
      <c r="AF14" s="115" t="n"/>
      <c r="AG14" s="110" t="n"/>
      <c r="AH14" s="115" t="n"/>
      <c r="AI14" s="115" t="n"/>
      <c r="AJ14" s="103" t="n"/>
      <c r="AK14" s="115" t="n"/>
      <c r="AL14" s="13" t="n"/>
    </row>
    <row r="15" ht="73.5" customHeight="1" thickBot="1">
      <c r="A15" s="4" t="n"/>
      <c r="L15" s="88" t="n"/>
      <c r="Q15" s="5" t="n"/>
      <c r="R15" s="5" t="n"/>
      <c r="S15" s="20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 ht="22.5" customHeight="1" thickBot="1">
      <c r="A16" s="60" t="inlineStr">
        <is>
          <t>НОМЕР И НАИМЕНОВАНИЕ ОТЛИВКИ</t>
        </is>
      </c>
      <c r="B16" s="62" t="inlineStr">
        <is>
          <t>ГОДНЫЕ, шт.</t>
        </is>
      </c>
      <c r="C16" s="71" t="inlineStr">
        <is>
          <t>ОКОНЧАТЕЛЬНЫЙ БРАК, шт.</t>
        </is>
      </c>
      <c r="D16" s="127" t="n"/>
      <c r="E16" s="127" t="n"/>
      <c r="F16" s="127" t="n"/>
      <c r="G16" s="127" t="n"/>
      <c r="H16" s="127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8" t="n"/>
      <c r="Y16" s="151" t="inlineStr">
        <is>
          <t>2 СОРТ, шт.</t>
        </is>
      </c>
      <c r="Z16" s="127" t="n"/>
      <c r="AA16" s="127" t="n"/>
      <c r="AB16" s="152" t="n"/>
      <c r="AC16" s="153" t="inlineStr">
        <is>
          <t>НЕДОСТАЧА, 
шт.</t>
        </is>
      </c>
      <c r="AD16" s="130" t="n"/>
      <c r="AE16" s="153" t="inlineStr">
        <is>
          <t>НОМЕРА ПЛАВОК</t>
        </is>
      </c>
      <c r="AF16" s="129" t="n"/>
      <c r="AG16" s="129" t="n"/>
      <c r="AH16" s="129" t="n"/>
      <c r="AI16" s="129" t="n"/>
      <c r="AJ16" s="129" t="n"/>
      <c r="AK16" s="130" t="n"/>
    </row>
    <row r="17" ht="135.75" customHeight="1" thickBot="1">
      <c r="A17" s="154" t="n"/>
      <c r="B17" s="154" t="n"/>
      <c r="C17" s="22" t="inlineStr">
        <is>
          <t>Раковины на корпусе</t>
        </is>
      </c>
      <c r="D17" s="23" t="inlineStr">
        <is>
          <t>Коробление</t>
        </is>
      </c>
      <c r="E17" s="23" t="inlineStr">
        <is>
          <t>Спай</t>
        </is>
      </c>
      <c r="F17" s="23" t="inlineStr">
        <is>
          <t>Трещины</t>
        </is>
      </c>
      <c r="G17" s="23" t="inlineStr">
        <is>
          <t>Недолив</t>
        </is>
      </c>
      <c r="H17" s="23" t="inlineStr">
        <is>
          <t>Пригар песка</t>
        </is>
      </c>
      <c r="I17" s="23" t="inlineStr">
        <is>
          <t>Пористость</t>
        </is>
      </c>
      <c r="J17" s="23" t="inlineStr">
        <is>
          <t>Вырыв</t>
        </is>
      </c>
      <c r="K17" s="23" t="inlineStr">
        <is>
          <t>Скол</t>
        </is>
      </c>
      <c r="L17" s="23" t="inlineStr">
        <is>
          <t>Слом</t>
        </is>
      </c>
      <c r="M17" s="23" t="inlineStr">
        <is>
          <t>Зарез литейный</t>
        </is>
      </c>
      <c r="N17" s="23" t="inlineStr">
        <is>
          <t>Зарез пеномодельный</t>
        </is>
      </c>
      <c r="O17" s="23" t="inlineStr">
        <is>
          <t>Нарушение геометрии</t>
        </is>
      </c>
      <c r="P17" s="23" t="inlineStr">
        <is>
          <t>Рыхлота</t>
        </is>
      </c>
      <c r="Q17" s="23" t="inlineStr">
        <is>
          <t>Непрклей</t>
        </is>
      </c>
      <c r="R17" s="23" t="inlineStr">
        <is>
          <t>Брак п/м</t>
        </is>
      </c>
      <c r="S17" s="23" t="inlineStr">
        <is>
          <t>Наплыв металла</t>
        </is>
      </c>
      <c r="T17" s="23" t="inlineStr">
        <is>
          <t>Несоответствие размеров</t>
        </is>
      </c>
      <c r="U17" s="23" t="inlineStr">
        <is>
          <t>Несоответствие внешнего вида</t>
        </is>
      </c>
      <c r="V17" s="23" t="inlineStr">
        <is>
          <t>Нарушение маркировки</t>
        </is>
      </c>
      <c r="W17" s="23" t="inlineStr">
        <is>
          <t>Неслитина</t>
        </is>
      </c>
      <c r="X17" s="31" t="inlineStr">
        <is>
          <t>Прочее</t>
        </is>
      </c>
      <c r="Y17" s="22" t="inlineStr">
        <is>
          <t>Раковины</t>
        </is>
      </c>
      <c r="Z17" s="23" t="inlineStr">
        <is>
          <t>Зарез литейный</t>
        </is>
      </c>
      <c r="AA17" s="23" t="inlineStr">
        <is>
          <t>Зарез пеномодельный</t>
        </is>
      </c>
      <c r="AB17" s="24" t="inlineStr">
        <is>
          <t>Прочее</t>
        </is>
      </c>
      <c r="AC17" s="139" t="n"/>
      <c r="AD17" s="141" t="n"/>
      <c r="AE17" s="139" t="n"/>
      <c r="AF17" s="140" t="n"/>
      <c r="AG17" s="140" t="n"/>
      <c r="AH17" s="140" t="n"/>
      <c r="AI17" s="140" t="n"/>
      <c r="AJ17" s="140" t="n"/>
      <c r="AK17" s="141" t="n"/>
      <c r="AL17" s="16" t="n"/>
      <c r="AM17" s="17" t="n"/>
      <c r="AN17" s="5" t="n"/>
      <c r="BK17" s="20" t="n"/>
    </row>
    <row r="18" hidden="1" ht="99" customHeight="1">
      <c r="A18" s="18" t="inlineStr">
        <is>
          <t>Наименование_отливки</t>
        </is>
      </c>
      <c r="B18" s="30" t="inlineStr">
        <is>
          <t>Контроль_принято</t>
        </is>
      </c>
      <c r="C18" s="30" t="inlineStr">
        <is>
          <t>Окончательный_брак_раковины</t>
        </is>
      </c>
      <c r="D18" s="30" t="inlineStr">
        <is>
          <t>Окончательный_брак_коробление</t>
        </is>
      </c>
      <c r="E18" s="30" t="inlineStr">
        <is>
          <t>Окончательный_брак_спай</t>
        </is>
      </c>
      <c r="F18" s="30" t="inlineStr">
        <is>
          <t>Окончательный_брак_трещины</t>
        </is>
      </c>
      <c r="G18" s="30" t="inlineStr">
        <is>
          <t>Окончательный_брак_недолив</t>
        </is>
      </c>
      <c r="H18" s="30" t="inlineStr">
        <is>
          <t>Окончательный_брак_пригар_песка</t>
        </is>
      </c>
      <c r="I18" s="30" t="inlineStr">
        <is>
          <t>Окончательный_брак_пористость</t>
        </is>
      </c>
      <c r="J18" s="30" t="inlineStr">
        <is>
          <t>Окончательный_брак_вырыв</t>
        </is>
      </c>
      <c r="K18" s="30" t="inlineStr">
        <is>
          <t>Окончательный_брак_скол</t>
        </is>
      </c>
      <c r="L18" s="30" t="inlineStr">
        <is>
          <t>Окончательный_брак_слом</t>
        </is>
      </c>
      <c r="M18" s="30" t="inlineStr">
        <is>
          <t>Окончательный_брак_зарез_литейный</t>
        </is>
      </c>
      <c r="N18" s="30" t="inlineStr">
        <is>
          <t>Окончательный_брак_зарез_пеномодельный</t>
        </is>
      </c>
      <c r="O18" s="30" t="inlineStr">
        <is>
          <t>Окончательный_брак_нарушение_геометрии</t>
        </is>
      </c>
      <c r="P18" s="30" t="inlineStr">
        <is>
          <t>Окончательный_брак_рыхлота</t>
        </is>
      </c>
      <c r="Q18" s="30" t="inlineStr">
        <is>
          <t>Окончательный_брак_непроклей</t>
        </is>
      </c>
      <c r="R18" s="30" t="inlineStr">
        <is>
          <t>Окончательный_брак_пеномодель</t>
        </is>
      </c>
      <c r="S18" s="30" t="inlineStr">
        <is>
          <t>Окончательный_брак_наплыв_металла</t>
        </is>
      </c>
      <c r="T18" s="30" t="inlineStr">
        <is>
          <t>Окончательный_брак_несоответствие_размеров</t>
        </is>
      </c>
      <c r="U18" s="30" t="inlineStr">
        <is>
          <t>Окончательный_брак_несоответствие_внешнего_вида</t>
        </is>
      </c>
      <c r="V18" s="30" t="inlineStr">
        <is>
          <t>Окончательный_брак_нарушение_маркировки</t>
        </is>
      </c>
      <c r="W18" s="30" t="inlineStr">
        <is>
          <t>Окончательный_брак_неслитина</t>
        </is>
      </c>
      <c r="X18" s="32" t="inlineStr">
        <is>
          <t>Окончательный_брак_прочее</t>
        </is>
      </c>
      <c r="Y18" s="33" t="inlineStr">
        <is>
          <t>Второй_сорт_раковины</t>
        </is>
      </c>
      <c r="Z18" s="30" t="inlineStr">
        <is>
          <t>Второй_сорт_зарез_литейный</t>
        </is>
      </c>
      <c r="AA18" s="30" t="inlineStr">
        <is>
          <t>Второй_сорт_зарез_пеномодельный</t>
        </is>
      </c>
      <c r="AB18" s="21" t="n"/>
      <c r="AC18" s="94" t="n"/>
      <c r="AD18" s="134" t="n"/>
      <c r="AE18" s="155" t="inlineStr">
        <is>
          <t>Номер_плавки</t>
        </is>
      </c>
      <c r="AF18" s="146" t="n"/>
      <c r="AG18" s="146" t="n"/>
      <c r="AH18" s="146" t="n"/>
      <c r="AI18" s="146" t="n"/>
      <c r="AJ18" s="146" t="n"/>
      <c r="AK18" s="134" t="n"/>
      <c r="AL18" s="19" t="n"/>
      <c r="AM18" s="20" t="n"/>
      <c r="AN18" s="5" t="n"/>
      <c r="BK18" s="20" t="n"/>
    </row>
    <row r="19" ht="99" customHeight="1">
      <c r="A19" s="115" t="inlineStr">
        <is>
          <t>Держатель ригеля</t>
        </is>
      </c>
      <c r="B19" s="115" t="n">
        <v>753</v>
      </c>
      <c r="C19" s="115" t="n">
        <v>38</v>
      </c>
      <c r="D19" s="115" t="n">
        <v>50</v>
      </c>
      <c r="E19" s="101" t="n">
        <v>0</v>
      </c>
      <c r="F19" s="115" t="n">
        <v>1</v>
      </c>
      <c r="G19" s="115" t="n">
        <v>40</v>
      </c>
      <c r="H19" s="115" t="n">
        <v>1</v>
      </c>
      <c r="I19" s="115" t="n">
        <v>2</v>
      </c>
      <c r="J19" s="115" t="n">
        <v>0</v>
      </c>
      <c r="K19" s="115" t="n">
        <v>1</v>
      </c>
      <c r="L19" s="115" t="n">
        <v>2</v>
      </c>
      <c r="M19" s="101" t="n">
        <v>0</v>
      </c>
      <c r="N19" s="115" t="n">
        <v>0</v>
      </c>
      <c r="O19" s="115" t="n">
        <v>0</v>
      </c>
      <c r="P19" s="115" t="n">
        <v>0</v>
      </c>
      <c r="Q19" s="115" t="n">
        <v>0</v>
      </c>
      <c r="R19" s="115" t="n">
        <v>0</v>
      </c>
      <c r="S19" s="115" t="n">
        <v>0</v>
      </c>
      <c r="T19" s="115" t="n">
        <v>0</v>
      </c>
      <c r="U19" s="115" t="n">
        <v>0</v>
      </c>
      <c r="V19" s="115" t="n">
        <v>0</v>
      </c>
      <c r="W19" s="115" t="n">
        <v>0</v>
      </c>
      <c r="X19" s="110" t="n">
        <v>0</v>
      </c>
      <c r="Y19" s="118" t="n">
        <v>168</v>
      </c>
      <c r="Z19" s="112" t="n">
        <v>6</v>
      </c>
      <c r="AA19" s="115" t="n">
        <v>17</v>
      </c>
      <c r="AB19" s="113" t="n"/>
      <c r="AC19" s="39" t="n"/>
      <c r="AD19" s="148" t="n"/>
      <c r="AE19" s="156" t="inlineStr">
        <is>
          <t>05-296/25, 05-294/25, 05-297/25, 05-301/25, 05-298/25</t>
        </is>
      </c>
      <c r="AF19" s="147" t="n"/>
      <c r="AG19" s="147" t="n"/>
      <c r="AH19" s="147" t="n"/>
      <c r="AI19" s="147" t="n"/>
      <c r="AJ19" s="147" t="n"/>
      <c r="AK19" s="148" t="n"/>
      <c r="AL19" s="19" t="n"/>
      <c r="AM19" s="20" t="n"/>
      <c r="AN19" s="5" t="n"/>
      <c r="BK19" s="20" t="n"/>
    </row>
    <row r="20" ht="99" customHeight="1">
      <c r="A20" s="115" t="n"/>
      <c r="B20" s="110" t="n"/>
      <c r="C20" s="114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5" t="n"/>
      <c r="U20" s="115" t="n"/>
      <c r="V20" s="115" t="n"/>
      <c r="W20" s="115" t="n"/>
      <c r="X20" s="117" t="n"/>
      <c r="Y20" s="118" t="n"/>
      <c r="Z20" s="112" t="n"/>
      <c r="AA20" s="115" t="n"/>
      <c r="AB20" s="113" t="n"/>
      <c r="AC20" s="39" t="n"/>
      <c r="AD20" s="148" t="n"/>
      <c r="AE20" s="156" t="n"/>
      <c r="AF20" s="147" t="n"/>
      <c r="AG20" s="147" t="n"/>
      <c r="AH20" s="147" t="n"/>
      <c r="AI20" s="147" t="n"/>
      <c r="AJ20" s="147" t="n"/>
      <c r="AK20" s="148" t="n"/>
      <c r="AL20" s="19" t="n"/>
      <c r="AM20" s="20" t="n"/>
      <c r="AN20" s="5" t="n"/>
      <c r="BK20" s="20" t="n"/>
    </row>
    <row r="21" ht="99" customHeight="1">
      <c r="A21" s="112" t="n"/>
      <c r="B21" s="117" t="n"/>
      <c r="C21" s="118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7" t="n"/>
      <c r="Y21" s="118" t="n"/>
      <c r="Z21" s="112" t="n"/>
      <c r="AA21" s="115" t="n"/>
      <c r="AB21" s="113" t="n"/>
      <c r="AC21" s="39" t="n"/>
      <c r="AD21" s="148" t="n"/>
      <c r="AE21" s="156" t="n"/>
      <c r="AF21" s="147" t="n"/>
      <c r="AG21" s="147" t="n"/>
      <c r="AH21" s="147" t="n"/>
      <c r="AI21" s="147" t="n"/>
      <c r="AJ21" s="147" t="n"/>
      <c r="AK21" s="148" t="n"/>
      <c r="AL21" s="19" t="n"/>
      <c r="AM21" s="20" t="n"/>
      <c r="AN21" s="5" t="n"/>
      <c r="BK21" s="20" t="n"/>
    </row>
    <row r="22" ht="99" customHeight="1">
      <c r="A22" s="115" t="n"/>
      <c r="B22" s="110" t="n"/>
      <c r="C22" s="114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5" t="n"/>
      <c r="V22" s="115" t="n"/>
      <c r="W22" s="115" t="n"/>
      <c r="X22" s="117" t="n"/>
      <c r="Y22" s="118" t="n"/>
      <c r="Z22" s="112" t="n"/>
      <c r="AA22" s="115" t="n"/>
      <c r="AB22" s="113" t="n"/>
      <c r="AC22" s="39" t="n"/>
      <c r="AD22" s="148" t="n"/>
      <c r="AE22" s="156" t="n"/>
      <c r="AF22" s="147" t="n"/>
      <c r="AG22" s="147" t="n"/>
      <c r="AH22" s="147" t="n"/>
      <c r="AI22" s="147" t="n"/>
      <c r="AJ22" s="147" t="n"/>
      <c r="AK22" s="148" t="n"/>
      <c r="AL22" s="19" t="n"/>
      <c r="AM22" s="20" t="n"/>
      <c r="AN22" s="5" t="n"/>
      <c r="BK22" s="20" t="n"/>
    </row>
    <row r="23" ht="99" customHeight="1">
      <c r="A23" s="115" t="n"/>
      <c r="B23" s="110" t="n"/>
      <c r="C23" s="114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5" t="n"/>
      <c r="V23" s="115" t="n"/>
      <c r="W23" s="115" t="n"/>
      <c r="X23" s="117" t="n"/>
      <c r="Y23" s="118" t="n"/>
      <c r="Z23" s="112" t="n"/>
      <c r="AA23" s="115" t="n"/>
      <c r="AB23" s="113" t="n"/>
      <c r="AC23" s="39" t="n"/>
      <c r="AD23" s="148" t="n"/>
      <c r="AE23" s="156" t="n"/>
      <c r="AF23" s="147" t="n"/>
      <c r="AG23" s="147" t="n"/>
      <c r="AH23" s="147" t="n"/>
      <c r="AI23" s="147" t="n"/>
      <c r="AJ23" s="147" t="n"/>
      <c r="AK23" s="148" t="n"/>
      <c r="AL23" s="19" t="n"/>
      <c r="AM23" s="20" t="n"/>
      <c r="AN23" s="5" t="n"/>
      <c r="BK23" s="20" t="n"/>
    </row>
    <row r="24" ht="99" customHeight="1">
      <c r="A24" s="115" t="n"/>
      <c r="B24" s="110" t="n"/>
      <c r="C24" s="114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5" t="n"/>
      <c r="U24" s="115" t="n"/>
      <c r="V24" s="115" t="n"/>
      <c r="W24" s="115" t="n"/>
      <c r="X24" s="117" t="n"/>
      <c r="Y24" s="118" t="n"/>
      <c r="Z24" s="112" t="n"/>
      <c r="AA24" s="115" t="n"/>
      <c r="AB24" s="113" t="n"/>
      <c r="AC24" s="39" t="n"/>
      <c r="AD24" s="148" t="n"/>
      <c r="AE24" s="156" t="n"/>
      <c r="AF24" s="147" t="n"/>
      <c r="AG24" s="147" t="n"/>
      <c r="AH24" s="147" t="n"/>
      <c r="AI24" s="147" t="n"/>
      <c r="AJ24" s="147" t="n"/>
      <c r="AK24" s="148" t="n"/>
      <c r="AL24" s="19" t="n"/>
      <c r="AM24" s="20" t="n"/>
      <c r="AN24" s="5" t="n"/>
      <c r="BK24" s="20" t="n"/>
    </row>
    <row r="25" ht="99" customHeight="1">
      <c r="A25" s="115" t="n"/>
      <c r="B25" s="110" t="n"/>
      <c r="C25" s="114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5" t="n"/>
      <c r="V25" s="115" t="n"/>
      <c r="W25" s="115" t="n"/>
      <c r="X25" s="117" t="n"/>
      <c r="Y25" s="118" t="n"/>
      <c r="Z25" s="112" t="n"/>
      <c r="AA25" s="115" t="n"/>
      <c r="AB25" s="113" t="n"/>
      <c r="AC25" s="39" t="n"/>
      <c r="AD25" s="148" t="n"/>
      <c r="AE25" s="156" t="n"/>
      <c r="AF25" s="147" t="n"/>
      <c r="AG25" s="147" t="n"/>
      <c r="AH25" s="147" t="n"/>
      <c r="AI25" s="147" t="n"/>
      <c r="AJ25" s="147" t="n"/>
      <c r="AK25" s="148" t="n"/>
      <c r="AL25" s="19" t="n"/>
      <c r="AM25" s="20" t="n"/>
      <c r="AN25" s="5" t="n"/>
      <c r="BK25" s="20" t="n"/>
    </row>
    <row r="26" ht="99" customHeight="1" thickBot="1">
      <c r="A26" s="115" t="n"/>
      <c r="B26" s="110" t="n"/>
      <c r="C26" s="119" t="n"/>
      <c r="D26" s="121" t="n"/>
      <c r="E26" s="121" t="n"/>
      <c r="F26" s="121" t="n"/>
      <c r="G26" s="121" t="n"/>
      <c r="H26" s="121" t="n"/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2" t="n"/>
      <c r="Y26" s="123" t="n"/>
      <c r="Z26" s="124" t="n"/>
      <c r="AA26" s="121" t="n"/>
      <c r="AB26" s="125" t="n"/>
      <c r="AC26" s="39" t="n"/>
      <c r="AD26" s="148" t="n"/>
      <c r="AE26" s="156" t="n"/>
      <c r="AF26" s="147" t="n"/>
      <c r="AG26" s="147" t="n"/>
      <c r="AH26" s="147" t="n"/>
      <c r="AI26" s="147" t="n"/>
      <c r="AJ26" s="147" t="n"/>
      <c r="AK26" s="148" t="n"/>
      <c r="AL26" s="19" t="n"/>
      <c r="AM26" s="20" t="n"/>
      <c r="AN26" s="5" t="n"/>
      <c r="BK26" s="20" t="n"/>
    </row>
    <row r="27" ht="33" customHeight="1"/>
    <row r="28" ht="33" customHeight="1"/>
    <row r="29" ht="33" customHeight="1"/>
  </sheetData>
  <mergeCells count="72">
    <mergeCell ref="O5:O6"/>
    <mergeCell ref="Q14:S14"/>
    <mergeCell ref="AE19:AK19"/>
    <mergeCell ref="AH5:AH6"/>
    <mergeCell ref="E5:E6"/>
    <mergeCell ref="W5:W6"/>
    <mergeCell ref="Y5:Y6"/>
    <mergeCell ref="Q10:S10"/>
    <mergeCell ref="Q4:S6"/>
    <mergeCell ref="L2:AH2"/>
    <mergeCell ref="A16:A17"/>
    <mergeCell ref="F5:F6"/>
    <mergeCell ref="AD5:AE5"/>
    <mergeCell ref="AB5:AB6"/>
    <mergeCell ref="AE24:AK24"/>
    <mergeCell ref="AA5:AA6"/>
    <mergeCell ref="AC18:AD18"/>
    <mergeCell ref="L5:L6"/>
    <mergeCell ref="AC5:AC6"/>
    <mergeCell ref="N5:N6"/>
    <mergeCell ref="AK5:AK6"/>
    <mergeCell ref="A4:A6"/>
    <mergeCell ref="B4:B6"/>
    <mergeCell ref="C4:P4"/>
    <mergeCell ref="AF5:AF6"/>
    <mergeCell ref="L15:P15"/>
    <mergeCell ref="Q9:S9"/>
    <mergeCell ref="AE20:AK20"/>
    <mergeCell ref="AE26:AK26"/>
    <mergeCell ref="AC24:AD24"/>
    <mergeCell ref="AE16:AK17"/>
    <mergeCell ref="AC23:AD23"/>
    <mergeCell ref="AE25:AK25"/>
    <mergeCell ref="X5:X6"/>
    <mergeCell ref="Z5:Z6"/>
    <mergeCell ref="I5:I6"/>
    <mergeCell ref="AC26:AD26"/>
    <mergeCell ref="Q11:S11"/>
    <mergeCell ref="AE22:AK22"/>
    <mergeCell ref="G5:G6"/>
    <mergeCell ref="AJ5:AJ6"/>
    <mergeCell ref="U5:U6"/>
    <mergeCell ref="AC20:AD20"/>
    <mergeCell ref="AE18:AK18"/>
    <mergeCell ref="AC19:AD19"/>
    <mergeCell ref="AC25:AD25"/>
    <mergeCell ref="Q13:S13"/>
    <mergeCell ref="AE21:AK21"/>
    <mergeCell ref="Q7:S7"/>
    <mergeCell ref="A1:AK1"/>
    <mergeCell ref="AC22:AD22"/>
    <mergeCell ref="Q12:S12"/>
    <mergeCell ref="AC16:AD17"/>
    <mergeCell ref="D5:D6"/>
    <mergeCell ref="AG5:AG6"/>
    <mergeCell ref="P5:P6"/>
    <mergeCell ref="C16:X16"/>
    <mergeCell ref="AI5:AI6"/>
    <mergeCell ref="H5:H6"/>
    <mergeCell ref="AC21:AD21"/>
    <mergeCell ref="J5:J6"/>
    <mergeCell ref="AE23:AK23"/>
    <mergeCell ref="Y16:AB16"/>
    <mergeCell ref="C5:C6"/>
    <mergeCell ref="B16:B17"/>
    <mergeCell ref="A2:D2"/>
    <mergeCell ref="Q8:S8"/>
    <mergeCell ref="T5:T6"/>
    <mergeCell ref="V5:V6"/>
    <mergeCell ref="K5:K6"/>
    <mergeCell ref="T4:AK4"/>
    <mergeCell ref="M5:M6"/>
  </mergeCells>
  <printOptions horizontalCentered="1"/>
  <pageMargins left="0.1181102362204725" right="0.1181102362204725" top="0.7480314960629921" bottom="0.3543307086614174" header="0.3149606299212598" footer="0.3149606299212598"/>
  <pageSetup orientation="landscape" paperSize="9" scale="40" fitToHeight="0"/>
  <rowBreaks count="1" manualBreakCount="1">
    <brk id="14" min="0" max="34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2023-10-25T07:09:30Z</dcterms:created>
  <dcterms:modified xmlns:dcterms="http://purl.org/dc/terms/" xmlns:xsi="http://www.w3.org/2001/XMLSchema-instance" xsi:type="dcterms:W3CDTF">2025-06-03T05:44:38Z</dcterms:modified>
  <cp:lastModifiedBy>Andrew Fedotov</cp:lastModifiedBy>
  <cp:lastPrinted>2025-05-20T03:54:01Z</cp:lastPrinted>
</cp:coreProperties>
</file>